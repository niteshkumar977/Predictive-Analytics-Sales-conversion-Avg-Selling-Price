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NEW WORKINGS\"/>
    </mc:Choice>
  </mc:AlternateContent>
  <xr:revisionPtr revIDLastSave="0" documentId="13_ncr:1_{73FB2A1A-C52A-42D9-8AAC-25840F0B6698}" xr6:coauthVersionLast="36" xr6:coauthVersionMax="36" xr10:uidLastSave="{00000000-0000-0000-0000-000000000000}"/>
  <bookViews>
    <workbookView xWindow="0" yWindow="0" windowWidth="19008" windowHeight="7212" xr2:uid="{7E74EC63-3D72-49C9-8AD0-E54B02E76836}"/>
  </bookViews>
  <sheets>
    <sheet name="Sheet1" sheetId="1" r:id="rId1"/>
    <sheet name="Sheet2" sheetId="2" r:id="rId2"/>
    <sheet name="Sheet3" sheetId="3" r:id="rId3"/>
  </sheets>
  <definedNames>
    <definedName name="solver_adj" localSheetId="0" hidden="1">Sheet1!$C$12:$D$12</definedName>
    <definedName name="solver_eng" localSheetId="0" hidden="1">1</definedName>
    <definedName name="solver_lhs1" localSheetId="0" hidden="1">Sheet1!$B$12</definedName>
    <definedName name="solver_lhs2" localSheetId="0" hidden="1">Sheet1!$C$12</definedName>
    <definedName name="solver_lhs3" localSheetId="0" hidden="1">Sheet1!$C$12</definedName>
    <definedName name="solver_lhs4" localSheetId="0" hidden="1">Sheet1!$D$12</definedName>
    <definedName name="solver_lhs5" localSheetId="0" hidden="1">Sheet1!$D$12</definedName>
    <definedName name="solver_lhs6" localSheetId="0" hidden="1">Sheet1!$D$12</definedName>
    <definedName name="solver_lhs7" localSheetId="0" hidden="1">Sheet1!$C$12</definedName>
    <definedName name="solver_neg" localSheetId="0" hidden="1">1</definedName>
    <definedName name="solver_num" localSheetId="0" hidden="1">7</definedName>
    <definedName name="solver_opt" localSheetId="0" hidden="1">Sheet1!$F$12</definedName>
    <definedName name="solver_rel1" localSheetId="0" hidden="1">2</definedName>
    <definedName name="solver_rel2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1</definedName>
    <definedName name="solver_rhs1" localSheetId="0" hidden="1">95</definedName>
    <definedName name="solver_rhs2" localSheetId="0" hidden="1">0.75</definedName>
    <definedName name="solver_rhs3" localSheetId="0" hidden="1">0.15</definedName>
    <definedName name="solver_rhs4" localSheetId="0" hidden="1">223.025868725869</definedName>
    <definedName name="solver_rhs5" localSheetId="0" hidden="1">2230.25868725869</definedName>
    <definedName name="solver_rhs6" localSheetId="0" hidden="1">2550</definedName>
    <definedName name="solver_rhs7" localSheetId="0" hidden="1">0.282252205500778</definedName>
    <definedName name="solver_typ" localSheetId="0" hidden="1">3</definedName>
    <definedName name="solver_val" localSheetId="0" hidden="1">67066.3360038379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H12" i="1" s="1"/>
  <c r="G11" i="1"/>
  <c r="H11" i="1" s="1"/>
  <c r="G10" i="1"/>
  <c r="H10" i="1" s="1"/>
  <c r="G8" i="1"/>
  <c r="H8" i="1" s="1"/>
  <c r="G6" i="1"/>
  <c r="H6" i="1" s="1"/>
  <c r="G4" i="1"/>
  <c r="H4" i="1" s="1"/>
  <c r="G3" i="1"/>
  <c r="H3" i="1" s="1"/>
  <c r="G9" i="1"/>
  <c r="H9" i="1" s="1"/>
  <c r="G7" i="1"/>
  <c r="H7" i="1" s="1"/>
  <c r="G5" i="1"/>
  <c r="H5" i="1" s="1"/>
  <c r="G2" i="1" l="1"/>
  <c r="H2" i="1" s="1"/>
  <c r="N12" i="1"/>
  <c r="N11" i="1"/>
  <c r="N10" i="1"/>
  <c r="N9" i="1"/>
  <c r="N8" i="1"/>
  <c r="N7" i="1"/>
  <c r="N6" i="1"/>
  <c r="N5" i="1"/>
  <c r="N4" i="1"/>
  <c r="N3" i="1"/>
  <c r="O12" i="1"/>
  <c r="O11" i="1"/>
  <c r="O10" i="1"/>
  <c r="O9" i="1"/>
  <c r="O8" i="1"/>
  <c r="O7" i="1"/>
  <c r="O6" i="1"/>
  <c r="O5" i="1"/>
  <c r="O4" i="1"/>
  <c r="O3" i="1"/>
  <c r="O2" i="1"/>
  <c r="N2" i="1"/>
  <c r="I3" i="3"/>
  <c r="F12" i="3"/>
  <c r="F11" i="3"/>
  <c r="F10" i="3"/>
  <c r="F9" i="3"/>
  <c r="F8" i="3"/>
  <c r="F7" i="3"/>
  <c r="F6" i="3"/>
  <c r="F5" i="3"/>
  <c r="F4" i="3"/>
  <c r="F3" i="3"/>
  <c r="F2" i="3"/>
  <c r="J2" i="3"/>
  <c r="I2" i="3"/>
  <c r="E12" i="3"/>
  <c r="E11" i="3"/>
  <c r="E10" i="3"/>
  <c r="E9" i="3"/>
  <c r="E8" i="3"/>
  <c r="E7" i="3"/>
  <c r="E6" i="3"/>
  <c r="E5" i="3"/>
  <c r="E4" i="3"/>
  <c r="E3" i="3"/>
  <c r="E2" i="3"/>
  <c r="B4" i="2" l="1"/>
  <c r="E4" i="2" s="1"/>
  <c r="E3" i="2"/>
  <c r="C3" i="2"/>
  <c r="C4" i="2" s="1"/>
  <c r="C5" i="2" s="1"/>
  <c r="C6" i="2" s="1"/>
  <c r="C7" i="2" s="1"/>
  <c r="C8" i="2" s="1"/>
  <c r="C9" i="2" s="1"/>
  <c r="C10" i="2" s="1"/>
  <c r="B3" i="2"/>
  <c r="E2" i="2"/>
  <c r="B5" i="2" l="1"/>
  <c r="E5" i="2" l="1"/>
  <c r="B6" i="2"/>
  <c r="B7" i="2" l="1"/>
  <c r="E6" i="2"/>
  <c r="B8" i="2" l="1"/>
  <c r="E7" i="2"/>
  <c r="B9" i="2" l="1"/>
  <c r="E8" i="2"/>
  <c r="E9" i="2" l="1"/>
  <c r="B10" i="2"/>
  <c r="E10" i="2" s="1"/>
</calcChain>
</file>

<file path=xl/sharedStrings.xml><?xml version="1.0" encoding="utf-8"?>
<sst xmlns="http://schemas.openxmlformats.org/spreadsheetml/2006/main" count="43" uniqueCount="31">
  <si>
    <t>leadscell</t>
  </si>
  <si>
    <t>conversioncell</t>
  </si>
  <si>
    <t>unitpricecell</t>
  </si>
  <si>
    <t>revenuecell</t>
  </si>
  <si>
    <t>requiredrevenuecell</t>
  </si>
  <si>
    <t>Constraints</t>
  </si>
  <si>
    <t>Max conversion</t>
  </si>
  <si>
    <t>Min increase in ASP</t>
  </si>
  <si>
    <t>Min conversion</t>
  </si>
  <si>
    <t>lead_count</t>
  </si>
  <si>
    <t>conversion</t>
  </si>
  <si>
    <t>ASP</t>
  </si>
  <si>
    <t>required_karma</t>
  </si>
  <si>
    <t>karma</t>
  </si>
  <si>
    <t>Marketing Call Lead Plan</t>
  </si>
  <si>
    <t>Con%</t>
  </si>
  <si>
    <t>Marketing Suggest ASP</t>
  </si>
  <si>
    <t>IB Source</t>
  </si>
  <si>
    <t>Existing_WhatsappIB_Calls</t>
  </si>
  <si>
    <t>existing_calls</t>
  </si>
  <si>
    <t>Google_IB_calls</t>
  </si>
  <si>
    <t>Web_app_push_calls</t>
  </si>
  <si>
    <t>NT_W_IBE</t>
  </si>
  <si>
    <t>Google</t>
  </si>
  <si>
    <t>Google_Super prime New</t>
  </si>
  <si>
    <t>Google_Super_prime</t>
  </si>
  <si>
    <t>Web_premium_leads_CR</t>
  </si>
  <si>
    <t>Web_premium_leads_SEO</t>
  </si>
  <si>
    <t>WEB_User_Idle</t>
  </si>
  <si>
    <t>Formula</t>
  </si>
  <si>
    <t>LC * Conv * ASP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</si>
</sst>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1" fontId="0" fillId="3" borderId="4" xfId="0" applyNumberFormat="1" applyFill="1" applyBorder="1" applyAlignment="1">
      <alignment horizontal="center"/>
    </xf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0" fillId="3" borderId="0" xfId="0" applyFill="1"/>
    <xf numFmtId="1" fontId="0" fillId="3" borderId="3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9" fontId="0" fillId="3" borderId="0" xfId="0" applyNumberFormat="1" applyFill="1"/>
    <xf numFmtId="0" fontId="0" fillId="0" borderId="1" xfId="0" applyBorder="1"/>
    <xf numFmtId="1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/>
    <xf numFmtId="164" fontId="0" fillId="3" borderId="1" xfId="1" applyNumberFormat="1" applyFont="1" applyFill="1" applyBorder="1" applyAlignment="1">
      <alignment horizontal="center"/>
    </xf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16</xdr:row>
          <xdr:rowOff>137160</xdr:rowOff>
        </xdr:from>
        <xdr:to>
          <xdr:col>4</xdr:col>
          <xdr:colOff>190500</xdr:colOff>
          <xdr:row>19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3D53283-C074-447A-ACA4-C901C6931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35EC-9B33-4EB9-A789-59269666EFC0}">
  <sheetPr codeName="Sheet1"/>
  <dimension ref="A1:O14"/>
  <sheetViews>
    <sheetView tabSelected="1" workbookViewId="0">
      <selection activeCell="E18" sqref="E18"/>
    </sheetView>
  </sheetViews>
  <sheetFormatPr defaultRowHeight="14.4" x14ac:dyDescent="0.3"/>
  <cols>
    <col min="1" max="1" width="23.109375" style="2" bestFit="1" customWidth="1"/>
    <col min="2" max="2" width="10.109375" bestFit="1" customWidth="1"/>
    <col min="3" max="3" width="12.6640625" bestFit="1" customWidth="1"/>
    <col min="4" max="4" width="10.109375" style="2" bestFit="1" customWidth="1"/>
    <col min="5" max="5" width="17.33203125" bestFit="1" customWidth="1"/>
    <col min="6" max="6" width="12" bestFit="1" customWidth="1"/>
    <col min="7" max="7" width="9.5546875" bestFit="1" customWidth="1"/>
    <col min="9" max="9" width="22.88671875" bestFit="1" customWidth="1"/>
  </cols>
  <sheetData>
    <row r="1" spans="1:15" x14ac:dyDescent="0.3">
      <c r="A1" s="4" t="s">
        <v>17</v>
      </c>
      <c r="B1" s="11" t="s">
        <v>9</v>
      </c>
      <c r="C1" s="11" t="s">
        <v>10</v>
      </c>
      <c r="D1" s="11" t="s">
        <v>11</v>
      </c>
      <c r="E1" s="11" t="s">
        <v>12</v>
      </c>
      <c r="F1" s="11" t="s">
        <v>13</v>
      </c>
      <c r="I1" t="s">
        <v>5</v>
      </c>
    </row>
    <row r="2" spans="1:15" x14ac:dyDescent="0.3">
      <c r="A2" s="3" t="s">
        <v>18</v>
      </c>
      <c r="B2" s="12">
        <v>330</v>
      </c>
      <c r="C2" s="14">
        <v>0.75</v>
      </c>
      <c r="D2" s="12">
        <v>2550</v>
      </c>
      <c r="E2" s="5">
        <v>671630.06243231625</v>
      </c>
      <c r="F2" s="13">
        <v>631125</v>
      </c>
      <c r="G2" s="15">
        <f>B2*C2*D2</f>
        <v>631125</v>
      </c>
      <c r="H2" s="15">
        <f>G2-E2</f>
        <v>-40505.062432316248</v>
      </c>
      <c r="I2" t="s">
        <v>6</v>
      </c>
      <c r="J2" s="10">
        <v>0.75</v>
      </c>
      <c r="L2" s="2">
        <v>0.72865812542144304</v>
      </c>
      <c r="M2" s="2">
        <v>2372</v>
      </c>
      <c r="N2">
        <f>C2-L2</f>
        <v>2.1341874578556963E-2</v>
      </c>
      <c r="O2" s="2">
        <f>D2-M2</f>
        <v>178</v>
      </c>
    </row>
    <row r="3" spans="1:15" x14ac:dyDescent="0.3">
      <c r="A3" s="3" t="s">
        <v>19</v>
      </c>
      <c r="B3" s="12">
        <v>120</v>
      </c>
      <c r="C3" s="14">
        <v>0.65985195629185756</v>
      </c>
      <c r="D3" s="12">
        <v>2129.5384615384614</v>
      </c>
      <c r="E3" s="5">
        <v>198559.6201178972</v>
      </c>
      <c r="F3" s="13">
        <v>198559.62011790718</v>
      </c>
      <c r="G3" s="15">
        <f t="shared" ref="G3:G12" si="0">B3*C3*D3</f>
        <v>168621.61438138876</v>
      </c>
      <c r="H3" s="15">
        <f t="shared" ref="H3:H12" si="1">G3-E3</f>
        <v>-29938.005736508436</v>
      </c>
      <c r="I3" t="s">
        <v>7</v>
      </c>
      <c r="J3" s="10">
        <v>0.1</v>
      </c>
      <c r="L3" s="2">
        <v>0.65985195629185756</v>
      </c>
      <c r="M3" s="2">
        <v>2129.5384615384614</v>
      </c>
      <c r="N3" s="2">
        <f t="shared" ref="N3:N12" si="2">C3-L3</f>
        <v>0</v>
      </c>
      <c r="O3" s="2">
        <f t="shared" ref="O3:O12" si="3">D3-M3</f>
        <v>0</v>
      </c>
    </row>
    <row r="4" spans="1:15" x14ac:dyDescent="0.3">
      <c r="A4" s="3" t="s">
        <v>20</v>
      </c>
      <c r="B4" s="12">
        <v>90</v>
      </c>
      <c r="C4" s="14">
        <v>0.67317845828933476</v>
      </c>
      <c r="D4" s="12">
        <v>1701</v>
      </c>
      <c r="E4" s="5">
        <v>121354.17538046507</v>
      </c>
      <c r="F4" s="13">
        <v>121354.17538047506</v>
      </c>
      <c r="G4" s="15">
        <f t="shared" si="0"/>
        <v>103056.89017951426</v>
      </c>
      <c r="H4" s="15">
        <f t="shared" si="1"/>
        <v>-18297.285200950806</v>
      </c>
      <c r="I4" t="s">
        <v>8</v>
      </c>
      <c r="J4" s="10">
        <v>0.15</v>
      </c>
      <c r="L4" s="2">
        <v>0.67317845828933476</v>
      </c>
      <c r="M4" s="2">
        <v>1701</v>
      </c>
      <c r="N4" s="2">
        <f t="shared" si="2"/>
        <v>0</v>
      </c>
      <c r="O4" s="2">
        <f t="shared" si="3"/>
        <v>0</v>
      </c>
    </row>
    <row r="5" spans="1:15" x14ac:dyDescent="0.3">
      <c r="A5" s="3" t="s">
        <v>21</v>
      </c>
      <c r="B5" s="12">
        <v>330</v>
      </c>
      <c r="C5" s="14">
        <v>0.69592073092266116</v>
      </c>
      <c r="D5" s="12">
        <v>1967</v>
      </c>
      <c r="E5" s="5">
        <v>531931.56727245892</v>
      </c>
      <c r="F5" s="13">
        <v>531931.56727245892</v>
      </c>
      <c r="G5" s="15">
        <f t="shared" si="0"/>
        <v>451729.10564920853</v>
      </c>
      <c r="H5" s="15">
        <f t="shared" si="1"/>
        <v>-80202.46162325039</v>
      </c>
      <c r="L5" s="2">
        <v>0.69592073092266116</v>
      </c>
      <c r="M5" s="2">
        <v>1967</v>
      </c>
      <c r="N5" s="2">
        <f t="shared" si="2"/>
        <v>0</v>
      </c>
      <c r="O5" s="2">
        <f t="shared" si="3"/>
        <v>0</v>
      </c>
    </row>
    <row r="6" spans="1:15" x14ac:dyDescent="0.3">
      <c r="A6" s="3" t="s">
        <v>22</v>
      </c>
      <c r="B6" s="12">
        <v>45</v>
      </c>
      <c r="C6" s="14">
        <v>0.40182648401826482</v>
      </c>
      <c r="D6" s="12">
        <v>2043.1818181818201</v>
      </c>
      <c r="E6" s="5">
        <v>43504.659779768597</v>
      </c>
      <c r="F6" s="13">
        <v>43504.6597797586</v>
      </c>
      <c r="G6" s="15">
        <f t="shared" si="0"/>
        <v>36945.205479452081</v>
      </c>
      <c r="H6" s="15">
        <f t="shared" si="1"/>
        <v>-6559.4543003165163</v>
      </c>
      <c r="L6" s="2">
        <v>0.40182648401826482</v>
      </c>
      <c r="M6" s="2">
        <v>2043.1818181818182</v>
      </c>
      <c r="N6" s="2">
        <f t="shared" si="2"/>
        <v>0</v>
      </c>
      <c r="O6" s="2">
        <f t="shared" si="3"/>
        <v>1.8189894035458565E-12</v>
      </c>
    </row>
    <row r="7" spans="1:15" x14ac:dyDescent="0.3">
      <c r="A7" s="3" t="s">
        <v>23</v>
      </c>
      <c r="B7" s="12">
        <v>675</v>
      </c>
      <c r="C7" s="14">
        <v>0.29638920060730078</v>
      </c>
      <c r="D7" s="12">
        <v>1471</v>
      </c>
      <c r="E7" s="5">
        <v>346542.50574530172</v>
      </c>
      <c r="F7" s="13">
        <v>346542.50574530172</v>
      </c>
      <c r="G7" s="15">
        <f t="shared" si="0"/>
        <v>294292.24701300415</v>
      </c>
      <c r="H7" s="15">
        <f t="shared" si="1"/>
        <v>-52250.258732297574</v>
      </c>
      <c r="L7" s="2">
        <v>0.29638920060730078</v>
      </c>
      <c r="M7" s="2">
        <v>1471</v>
      </c>
      <c r="N7" s="2">
        <f t="shared" si="2"/>
        <v>0</v>
      </c>
      <c r="O7" s="2">
        <f t="shared" si="3"/>
        <v>0</v>
      </c>
    </row>
    <row r="8" spans="1:15" x14ac:dyDescent="0.3">
      <c r="A8" s="3" t="s">
        <v>24</v>
      </c>
      <c r="B8" s="12">
        <v>15</v>
      </c>
      <c r="C8" s="14">
        <v>0.22006141248720573</v>
      </c>
      <c r="D8" s="12">
        <v>1041</v>
      </c>
      <c r="E8" s="5">
        <v>4046.3512072919093</v>
      </c>
      <c r="F8" s="13">
        <v>4046.3512072919152</v>
      </c>
      <c r="G8" s="15">
        <f t="shared" si="0"/>
        <v>3436.2589559877179</v>
      </c>
      <c r="H8" s="15">
        <f t="shared" si="1"/>
        <v>-610.09225130419145</v>
      </c>
      <c r="L8" s="2">
        <v>0.22006141248720573</v>
      </c>
      <c r="M8" s="2">
        <v>1041</v>
      </c>
      <c r="N8" s="2">
        <f t="shared" si="2"/>
        <v>0</v>
      </c>
      <c r="O8" s="2">
        <f t="shared" si="3"/>
        <v>0</v>
      </c>
    </row>
    <row r="9" spans="1:15" x14ac:dyDescent="0.3">
      <c r="A9" s="3" t="s">
        <v>25</v>
      </c>
      <c r="B9" s="12">
        <v>15</v>
      </c>
      <c r="C9" s="14">
        <v>0.34562211981566821</v>
      </c>
      <c r="D9" s="12">
        <v>1506.08</v>
      </c>
      <c r="E9" s="5">
        <v>9194.2968263789917</v>
      </c>
      <c r="F9" s="13">
        <v>9194.2968263889907</v>
      </c>
      <c r="G9" s="15">
        <f t="shared" si="0"/>
        <v>7808.0184331797236</v>
      </c>
      <c r="H9" s="15">
        <f t="shared" si="1"/>
        <v>-1386.2783931992681</v>
      </c>
      <c r="L9" s="2">
        <v>0.34562211981566821</v>
      </c>
      <c r="M9" s="2">
        <v>1506.08</v>
      </c>
      <c r="N9" s="2">
        <f t="shared" si="2"/>
        <v>0</v>
      </c>
      <c r="O9" s="2">
        <f t="shared" si="3"/>
        <v>0</v>
      </c>
    </row>
    <row r="10" spans="1:15" x14ac:dyDescent="0.3">
      <c r="A10" s="3" t="s">
        <v>26</v>
      </c>
      <c r="B10" s="12">
        <v>1000</v>
      </c>
      <c r="C10" s="14">
        <v>0.15776670913934901</v>
      </c>
      <c r="D10" s="12">
        <v>2077</v>
      </c>
      <c r="E10" s="5">
        <v>385859.81660673791</v>
      </c>
      <c r="F10" s="13">
        <v>385859.81660673826</v>
      </c>
      <c r="G10" s="15">
        <f t="shared" si="0"/>
        <v>327681.45488242793</v>
      </c>
      <c r="H10" s="15">
        <f t="shared" si="1"/>
        <v>-58178.361724309972</v>
      </c>
      <c r="L10" s="2">
        <v>0.15776670913934901</v>
      </c>
      <c r="M10" s="2">
        <v>2077</v>
      </c>
      <c r="N10" s="2">
        <f t="shared" si="2"/>
        <v>0</v>
      </c>
      <c r="O10" s="2">
        <f t="shared" si="3"/>
        <v>0</v>
      </c>
    </row>
    <row r="11" spans="1:15" x14ac:dyDescent="0.3">
      <c r="A11" s="3" t="s">
        <v>27</v>
      </c>
      <c r="B11" s="12">
        <v>210</v>
      </c>
      <c r="C11" s="14">
        <v>0.25637968041974718</v>
      </c>
      <c r="D11" s="12">
        <v>1989</v>
      </c>
      <c r="E11" s="5">
        <v>126100.08231175598</v>
      </c>
      <c r="F11" s="13">
        <v>126100.08231175617</v>
      </c>
      <c r="G11" s="15">
        <f t="shared" si="0"/>
        <v>107087.2287145242</v>
      </c>
      <c r="H11" s="15">
        <f t="shared" si="1"/>
        <v>-19012.853597231777</v>
      </c>
      <c r="L11" s="2">
        <v>0.25637968041974718</v>
      </c>
      <c r="M11" s="2">
        <v>1989</v>
      </c>
      <c r="N11" s="2">
        <f t="shared" si="2"/>
        <v>0</v>
      </c>
      <c r="O11" s="2">
        <f t="shared" si="3"/>
        <v>0</v>
      </c>
    </row>
    <row r="12" spans="1:15" x14ac:dyDescent="0.3">
      <c r="A12" s="3" t="s">
        <v>28</v>
      </c>
      <c r="B12" s="12">
        <v>95</v>
      </c>
      <c r="C12" s="14">
        <v>0.26881162428645561</v>
      </c>
      <c r="D12" s="12">
        <v>2230.2586872586899</v>
      </c>
      <c r="E12" s="5">
        <v>67066.336003837874</v>
      </c>
      <c r="F12" s="13">
        <v>67066.336003847871</v>
      </c>
      <c r="G12" s="15">
        <f t="shared" si="0"/>
        <v>56954.34872859373</v>
      </c>
      <c r="H12" s="15">
        <f t="shared" si="1"/>
        <v>-10111.987275244144</v>
      </c>
      <c r="L12" s="2">
        <v>0.26881162428645561</v>
      </c>
      <c r="M12" s="2">
        <v>2230.2586872586871</v>
      </c>
      <c r="N12" s="2">
        <f t="shared" si="2"/>
        <v>0</v>
      </c>
      <c r="O12" s="2">
        <f t="shared" si="3"/>
        <v>0</v>
      </c>
    </row>
    <row r="14" spans="1:15" x14ac:dyDescent="0.3">
      <c r="E14" t="s">
        <v>29</v>
      </c>
      <c r="F1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timizeMultipleRevenueGoals">
                <anchor moveWithCells="1" sizeWithCells="1">
                  <from>
                    <xdr:col>1</xdr:col>
                    <xdr:colOff>327660</xdr:colOff>
                    <xdr:row>16</xdr:row>
                    <xdr:rowOff>137160</xdr:rowOff>
                  </from>
                  <to>
                    <xdr:col>4</xdr:col>
                    <xdr:colOff>190500</xdr:colOff>
                    <xdr:row>19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6F2C1-A5A4-4359-9415-EFBA314EE897}">
  <sheetPr codeName="Sheet2"/>
  <dimension ref="A1:E10"/>
  <sheetViews>
    <sheetView workbookViewId="0">
      <selection activeCell="H2" sqref="H2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</v>
      </c>
      <c r="D1" t="s">
        <v>4</v>
      </c>
      <c r="E1" t="s">
        <v>3</v>
      </c>
    </row>
    <row r="2" spans="1:5" x14ac:dyDescent="0.3">
      <c r="A2">
        <v>10</v>
      </c>
      <c r="B2">
        <v>0.1</v>
      </c>
      <c r="C2">
        <v>100</v>
      </c>
      <c r="D2">
        <v>120</v>
      </c>
      <c r="E2">
        <f t="shared" ref="E2:E10" si="0">A2*B2*C2</f>
        <v>100</v>
      </c>
    </row>
    <row r="3" spans="1:5" x14ac:dyDescent="0.3">
      <c r="A3">
        <v>20</v>
      </c>
      <c r="B3">
        <f t="shared" ref="B3:B10" si="1">B2+0.05</f>
        <v>0.15000000000000002</v>
      </c>
      <c r="C3">
        <f t="shared" ref="C3:C10" si="2">C2+100</f>
        <v>200</v>
      </c>
      <c r="D3">
        <v>720.00000000000011</v>
      </c>
      <c r="E3">
        <f t="shared" si="0"/>
        <v>600.00000000000011</v>
      </c>
    </row>
    <row r="4" spans="1:5" x14ac:dyDescent="0.3">
      <c r="A4">
        <v>30</v>
      </c>
      <c r="B4">
        <f t="shared" si="1"/>
        <v>0.2</v>
      </c>
      <c r="C4">
        <f t="shared" si="2"/>
        <v>300</v>
      </c>
      <c r="D4">
        <v>2160</v>
      </c>
      <c r="E4">
        <f t="shared" si="0"/>
        <v>1800</v>
      </c>
    </row>
    <row r="5" spans="1:5" x14ac:dyDescent="0.3">
      <c r="A5">
        <v>40</v>
      </c>
      <c r="B5">
        <f t="shared" si="1"/>
        <v>0.25</v>
      </c>
      <c r="C5">
        <f t="shared" si="2"/>
        <v>400</v>
      </c>
      <c r="D5">
        <v>4800</v>
      </c>
      <c r="E5">
        <f t="shared" si="0"/>
        <v>4000</v>
      </c>
    </row>
    <row r="6" spans="1:5" x14ac:dyDescent="0.3">
      <c r="A6">
        <v>50</v>
      </c>
      <c r="B6">
        <f t="shared" si="1"/>
        <v>0.3</v>
      </c>
      <c r="C6">
        <f t="shared" si="2"/>
        <v>500</v>
      </c>
      <c r="D6">
        <v>9000</v>
      </c>
      <c r="E6">
        <f t="shared" si="0"/>
        <v>7500</v>
      </c>
    </row>
    <row r="7" spans="1:5" x14ac:dyDescent="0.3">
      <c r="A7">
        <v>60</v>
      </c>
      <c r="B7">
        <f t="shared" si="1"/>
        <v>0.35</v>
      </c>
      <c r="C7">
        <f t="shared" si="2"/>
        <v>600</v>
      </c>
      <c r="D7">
        <v>15120</v>
      </c>
      <c r="E7">
        <f t="shared" si="0"/>
        <v>12600</v>
      </c>
    </row>
    <row r="8" spans="1:5" x14ac:dyDescent="0.3">
      <c r="A8">
        <v>70</v>
      </c>
      <c r="B8">
        <f t="shared" si="1"/>
        <v>0.39999999999999997</v>
      </c>
      <c r="C8">
        <f t="shared" si="2"/>
        <v>700</v>
      </c>
      <c r="D8">
        <v>23519.999999999996</v>
      </c>
      <c r="E8">
        <f t="shared" si="0"/>
        <v>19599.999999999996</v>
      </c>
    </row>
    <row r="9" spans="1:5" x14ac:dyDescent="0.3">
      <c r="A9">
        <v>80</v>
      </c>
      <c r="B9">
        <f t="shared" si="1"/>
        <v>0.44999999999999996</v>
      </c>
      <c r="C9">
        <f t="shared" si="2"/>
        <v>800</v>
      </c>
      <c r="D9">
        <v>34560</v>
      </c>
      <c r="E9">
        <f t="shared" si="0"/>
        <v>28800</v>
      </c>
    </row>
    <row r="10" spans="1:5" x14ac:dyDescent="0.3">
      <c r="A10">
        <v>90</v>
      </c>
      <c r="B10">
        <f t="shared" si="1"/>
        <v>0.49999999999999994</v>
      </c>
      <c r="C10">
        <f t="shared" si="2"/>
        <v>900</v>
      </c>
      <c r="D10">
        <v>48599.999999999993</v>
      </c>
      <c r="E10">
        <f t="shared" si="0"/>
        <v>40499.999999999993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3407-F6F1-4AB0-B1D8-A4E1239A4494}">
  <sheetPr codeName="Sheet3"/>
  <dimension ref="A1:J12"/>
  <sheetViews>
    <sheetView workbookViewId="0">
      <selection activeCell="B2" sqref="B2:D12"/>
    </sheetView>
  </sheetViews>
  <sheetFormatPr defaultRowHeight="14.4" x14ac:dyDescent="0.3"/>
  <cols>
    <col min="1" max="1" width="23.109375" bestFit="1" customWidth="1"/>
  </cols>
  <sheetData>
    <row r="1" spans="1:10" ht="15" thickBot="1" x14ac:dyDescent="0.35">
      <c r="A1" s="4" t="s">
        <v>17</v>
      </c>
      <c r="B1" s="6" t="s">
        <v>14</v>
      </c>
      <c r="C1" t="s">
        <v>15</v>
      </c>
      <c r="D1" t="s">
        <v>16</v>
      </c>
    </row>
    <row r="2" spans="1:10" x14ac:dyDescent="0.3">
      <c r="A2" s="3" t="s">
        <v>18</v>
      </c>
      <c r="B2" s="1">
        <v>330</v>
      </c>
      <c r="C2" s="7">
        <v>0.72865812542144304</v>
      </c>
      <c r="D2" s="7">
        <v>2372</v>
      </c>
      <c r="E2">
        <f t="shared" ref="E2:E12" si="0">B2*C2*D2</f>
        <v>570364.43425488879</v>
      </c>
      <c r="F2" s="7">
        <f t="shared" ref="F2:F12" si="1">B2*C2*D2</f>
        <v>570364.43425488879</v>
      </c>
      <c r="G2" s="2">
        <v>0.72865812542144304</v>
      </c>
      <c r="H2" s="2">
        <v>2372</v>
      </c>
      <c r="I2">
        <f>G2-C2</f>
        <v>0</v>
      </c>
      <c r="J2">
        <f>H2-D2</f>
        <v>0</v>
      </c>
    </row>
    <row r="3" spans="1:10" x14ac:dyDescent="0.3">
      <c r="A3" s="3" t="s">
        <v>19</v>
      </c>
      <c r="B3" s="8">
        <v>120</v>
      </c>
      <c r="C3" s="7">
        <v>0.65985195629185756</v>
      </c>
      <c r="D3" s="7">
        <v>2129.5384615384614</v>
      </c>
      <c r="E3" s="2">
        <f t="shared" si="0"/>
        <v>168621.61438138876</v>
      </c>
      <c r="F3" s="7">
        <f t="shared" si="1"/>
        <v>168621.61438138876</v>
      </c>
      <c r="G3" s="2">
        <v>0.7</v>
      </c>
      <c r="H3" s="2">
        <v>2363.805001403538</v>
      </c>
      <c r="I3">
        <f>C3*1.2</f>
        <v>0.79182234755022907</v>
      </c>
    </row>
    <row r="4" spans="1:10" x14ac:dyDescent="0.3">
      <c r="A4" s="3" t="s">
        <v>20</v>
      </c>
      <c r="B4" s="8">
        <v>90</v>
      </c>
      <c r="C4" s="7">
        <v>0.67317845828933476</v>
      </c>
      <c r="D4" s="7">
        <v>1701</v>
      </c>
      <c r="E4" s="2">
        <f t="shared" si="0"/>
        <v>103056.89017951426</v>
      </c>
      <c r="F4" s="7">
        <f t="shared" si="1"/>
        <v>103056.89017951426</v>
      </c>
      <c r="G4" s="2">
        <v>0.7</v>
      </c>
      <c r="H4" s="2">
        <v>1926.2567520710329</v>
      </c>
    </row>
    <row r="5" spans="1:10" x14ac:dyDescent="0.3">
      <c r="A5" s="3" t="s">
        <v>21</v>
      </c>
      <c r="B5" s="8">
        <v>330</v>
      </c>
      <c r="C5" s="7">
        <v>0.69592073092266116</v>
      </c>
      <c r="D5" s="7">
        <v>1967</v>
      </c>
      <c r="E5" s="2">
        <f t="shared" si="0"/>
        <v>451729.10564920853</v>
      </c>
      <c r="F5" s="7">
        <f t="shared" si="1"/>
        <v>451729.10564920853</v>
      </c>
      <c r="G5" s="2">
        <v>0.7</v>
      </c>
      <c r="H5" s="2">
        <v>2302.7340574565324</v>
      </c>
    </row>
    <row r="6" spans="1:10" x14ac:dyDescent="0.3">
      <c r="A6" s="3" t="s">
        <v>22</v>
      </c>
      <c r="B6" s="8">
        <v>45</v>
      </c>
      <c r="C6" s="7">
        <v>0.40182648401826482</v>
      </c>
      <c r="D6" s="7">
        <v>2043.1818181818182</v>
      </c>
      <c r="E6" s="2">
        <f t="shared" si="0"/>
        <v>36945.205479452052</v>
      </c>
      <c r="F6" s="7">
        <f t="shared" si="1"/>
        <v>36945.205479452052</v>
      </c>
      <c r="G6" s="2">
        <v>0.47316895740076631</v>
      </c>
      <c r="H6" s="2">
        <v>2043.1818322125318</v>
      </c>
    </row>
    <row r="7" spans="1:10" x14ac:dyDescent="0.3">
      <c r="A7" s="3" t="s">
        <v>23</v>
      </c>
      <c r="B7" s="8">
        <v>675</v>
      </c>
      <c r="C7" s="7">
        <v>0.29638920060730078</v>
      </c>
      <c r="D7" s="7">
        <v>1471</v>
      </c>
      <c r="E7" s="2">
        <f t="shared" si="0"/>
        <v>294292.24701300415</v>
      </c>
      <c r="F7" s="7">
        <f t="shared" si="1"/>
        <v>294292.24701300415</v>
      </c>
      <c r="G7" s="2">
        <v>0.34901176145978446</v>
      </c>
      <c r="H7" s="2">
        <v>1471.0000106028274</v>
      </c>
    </row>
    <row r="8" spans="1:10" x14ac:dyDescent="0.3">
      <c r="A8" s="3" t="s">
        <v>24</v>
      </c>
      <c r="B8" s="8">
        <v>15</v>
      </c>
      <c r="C8" s="7">
        <v>0.22006141248720573</v>
      </c>
      <c r="D8" s="7">
        <v>1041</v>
      </c>
      <c r="E8" s="2">
        <f t="shared" si="0"/>
        <v>3436.2589559877179</v>
      </c>
      <c r="F8" s="7">
        <f t="shared" si="1"/>
        <v>3436.2589559877179</v>
      </c>
      <c r="G8" s="2">
        <v>0.25913231989675845</v>
      </c>
      <c r="H8" s="2">
        <v>1041.0000082593651</v>
      </c>
    </row>
    <row r="9" spans="1:10" x14ac:dyDescent="0.3">
      <c r="A9" s="3" t="s">
        <v>25</v>
      </c>
      <c r="B9" s="8">
        <v>15</v>
      </c>
      <c r="C9" s="7">
        <v>0.34562211981566821</v>
      </c>
      <c r="D9" s="7">
        <v>1506.08</v>
      </c>
      <c r="E9" s="2">
        <f t="shared" si="0"/>
        <v>7808.0184331797236</v>
      </c>
      <c r="F9" s="7">
        <f t="shared" si="1"/>
        <v>7808.0184331797236</v>
      </c>
      <c r="G9" s="2">
        <v>0.40698576173073281</v>
      </c>
      <c r="H9" s="2">
        <v>1506.0800140820097</v>
      </c>
    </row>
    <row r="10" spans="1:10" x14ac:dyDescent="0.3">
      <c r="A10" s="3" t="s">
        <v>26</v>
      </c>
      <c r="B10" s="8">
        <v>1000</v>
      </c>
      <c r="C10" s="7">
        <v>0.15776670913934901</v>
      </c>
      <c r="D10" s="7">
        <v>2077</v>
      </c>
      <c r="E10" s="2">
        <f t="shared" si="0"/>
        <v>327681.45488242793</v>
      </c>
      <c r="F10" s="7">
        <f t="shared" si="1"/>
        <v>327681.45488242793</v>
      </c>
      <c r="G10" s="2">
        <v>0.18577747530643482</v>
      </c>
      <c r="H10" s="2">
        <v>2077.0000021276678</v>
      </c>
    </row>
    <row r="11" spans="1:10" x14ac:dyDescent="0.3">
      <c r="A11" s="3" t="s">
        <v>27</v>
      </c>
      <c r="B11" s="8">
        <v>210</v>
      </c>
      <c r="C11" s="7">
        <v>0.25637968041974718</v>
      </c>
      <c r="D11" s="7">
        <v>1989</v>
      </c>
      <c r="E11" s="2">
        <f t="shared" si="0"/>
        <v>107087.2287145242</v>
      </c>
      <c r="F11" s="7">
        <f t="shared" si="1"/>
        <v>107087.2287145242</v>
      </c>
      <c r="G11" s="2">
        <v>0.30189873336630846</v>
      </c>
      <c r="H11" s="2">
        <v>1989.0000058673506</v>
      </c>
    </row>
    <row r="12" spans="1:10" x14ac:dyDescent="0.3">
      <c r="A12" s="3" t="s">
        <v>28</v>
      </c>
      <c r="B12" s="9">
        <v>95</v>
      </c>
      <c r="C12" s="7">
        <v>0.26881162428645561</v>
      </c>
      <c r="D12" s="7">
        <v>2230.2586872586871</v>
      </c>
      <c r="E12" s="2">
        <f t="shared" si="0"/>
        <v>56954.348728593664</v>
      </c>
      <c r="F12" s="7">
        <f t="shared" si="1"/>
        <v>56954.348728593664</v>
      </c>
      <c r="G12" s="2">
        <v>0.31653791276841348</v>
      </c>
      <c r="H12" s="2">
        <v>2230.2586930111079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2024-10-29T10:53:04Z</dcterms:created>
  <dcterms:modified xsi:type="dcterms:W3CDTF">2024-11-08T15:20:24Z</dcterms:modified>
</cp:coreProperties>
</file>